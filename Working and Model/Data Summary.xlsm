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ersons/person.xml" ContentType="application/vnd.ms-excel.person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628"/>
  <workbookPr defaultThemeVersion="202300"/>
  <mc:AlternateContent xmlns:mc="http://schemas.openxmlformats.org/markup-compatibility/2006">
    <mc:Choice Requires="x15">
      <x15ac:absPath xmlns:x15ac="http://schemas.microsoft.com/office/spreadsheetml/2010/11/ac" url="https://d.docs.live.net/6a6f15671d4ed286/文件/QRT 2025 Reconstruction of Liquid Asset Performance/Working and Model/"/>
    </mc:Choice>
  </mc:AlternateContent>
  <xr:revisionPtr revIDLastSave="186" documentId="13_ncr:1_{BC642FF6-3FED-4DF2-871F-E1420BE07519}" xr6:coauthVersionLast="47" xr6:coauthVersionMax="47" xr10:uidLastSave="{3A8ACD2E-832B-4E63-B9BF-4D4940FA6783}"/>
  <bookViews>
    <workbookView xWindow="-28920" yWindow="-120" windowWidth="29040" windowHeight="15720" activeTab="2" xr2:uid="{AF18C5A1-21BD-47A5-8449-0797879433F8}"/>
  </bookViews>
  <sheets>
    <sheet name="Data Summary" sheetId="1" r:id="rId1"/>
    <sheet name="Enhance" sheetId="3" r:id="rId2"/>
    <sheet name="Result" sheetId="2" r:id="rId3"/>
  </sheets>
  <definedNames>
    <definedName name="_xlnm._FilterDatabase" localSheetId="0" hidden="1">'Data Summary'!$A$1:$B$101</definedName>
  </definedNames>
  <calcPr calcId="191029" calcMode="manual" calcOnSave="0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G62" i="3" l="1"/>
  <c r="G63" i="3"/>
  <c r="G64" i="3"/>
  <c r="G65" i="3"/>
  <c r="G66" i="3"/>
  <c r="G67" i="3"/>
  <c r="G68" i="3"/>
  <c r="G69" i="3"/>
  <c r="G70" i="3"/>
  <c r="G71" i="3"/>
  <c r="G72" i="3"/>
  <c r="G73" i="3"/>
  <c r="G74" i="3"/>
  <c r="G75" i="3"/>
  <c r="G76" i="3"/>
  <c r="G77" i="3"/>
  <c r="G78" i="3"/>
  <c r="G79" i="3"/>
  <c r="G80" i="3"/>
  <c r="G81" i="3"/>
  <c r="G82" i="3"/>
  <c r="G83" i="3"/>
  <c r="G84" i="3"/>
  <c r="G85" i="3"/>
  <c r="G86" i="3"/>
  <c r="G87" i="3"/>
  <c r="G88" i="3"/>
  <c r="G89" i="3"/>
  <c r="G90" i="3"/>
  <c r="G91" i="3"/>
  <c r="G92" i="3"/>
  <c r="G93" i="3"/>
  <c r="G94" i="3"/>
  <c r="G95" i="3"/>
  <c r="G96" i="3"/>
  <c r="G97" i="3"/>
  <c r="G98" i="3"/>
  <c r="G99" i="3"/>
  <c r="G100" i="3"/>
  <c r="G101" i="3"/>
  <c r="G61" i="3"/>
  <c r="G60" i="3"/>
  <c r="G59" i="3"/>
  <c r="G58" i="3"/>
  <c r="G57" i="3"/>
  <c r="G56" i="3"/>
  <c r="G55" i="3"/>
  <c r="G54" i="3"/>
  <c r="G53" i="3"/>
  <c r="G52" i="3"/>
  <c r="G51" i="3"/>
  <c r="G50" i="3"/>
  <c r="G49" i="3"/>
  <c r="G48" i="3"/>
  <c r="G47" i="3"/>
  <c r="G46" i="3"/>
  <c r="G45" i="3"/>
  <c r="G44" i="3"/>
  <c r="G43" i="3"/>
  <c r="G42" i="3"/>
  <c r="G41" i="3"/>
  <c r="G40" i="3"/>
  <c r="G39" i="3"/>
  <c r="G38" i="3"/>
  <c r="G37" i="3"/>
  <c r="G36" i="3"/>
  <c r="G35" i="3"/>
  <c r="G34" i="3"/>
  <c r="G33" i="3"/>
  <c r="G32" i="3"/>
  <c r="G31" i="3"/>
  <c r="G30" i="3"/>
  <c r="G29" i="3"/>
  <c r="G28" i="3"/>
  <c r="G27" i="3"/>
  <c r="G26" i="3"/>
  <c r="G25" i="3"/>
  <c r="G24" i="3"/>
  <c r="G23" i="3"/>
  <c r="G22" i="3"/>
  <c r="G21" i="3"/>
  <c r="G20" i="3"/>
  <c r="G19" i="3"/>
  <c r="G18" i="3"/>
  <c r="G17" i="3"/>
  <c r="G16" i="3"/>
  <c r="G15" i="3"/>
  <c r="G14" i="3"/>
  <c r="G13" i="3"/>
  <c r="G12" i="3"/>
  <c r="G11" i="3"/>
  <c r="G10" i="3"/>
  <c r="G9" i="3"/>
  <c r="G8" i="3"/>
  <c r="G7" i="3"/>
  <c r="G6" i="3"/>
  <c r="G5" i="3"/>
  <c r="G4" i="3"/>
  <c r="G3" i="3"/>
  <c r="G2" i="3"/>
</calcChain>
</file>

<file path=xl/sharedStrings.xml><?xml version="1.0" encoding="utf-8"?>
<sst xmlns="http://schemas.openxmlformats.org/spreadsheetml/2006/main" count="48" uniqueCount="32">
  <si>
    <t>ID_TARGET_SORT</t>
  </si>
  <si>
    <t>Number of Data</t>
  </si>
  <si>
    <t>From X_train</t>
  </si>
  <si>
    <t>output1</t>
  </si>
  <si>
    <t>Name</t>
  </si>
  <si>
    <t>Result</t>
  </si>
  <si>
    <t>Model</t>
  </si>
  <si>
    <t>min_corr_x_to_y</t>
  </si>
  <si>
    <t>max_corr_x_to_x</t>
  </si>
  <si>
    <t>Date</t>
  </si>
  <si>
    <t>output2</t>
  </si>
  <si>
    <t>benchmark</t>
  </si>
  <si>
    <t>NA</t>
  </si>
  <si>
    <t>output3</t>
  </si>
  <si>
    <t>output4</t>
  </si>
  <si>
    <t>output5</t>
  </si>
  <si>
    <t>output6</t>
  </si>
  <si>
    <t>Correct up to 0.01</t>
  </si>
  <si>
    <t>Correct up to 0.001</t>
  </si>
  <si>
    <t>output7</t>
  </si>
  <si>
    <t>output8</t>
  </si>
  <si>
    <t>Optimal_Corr</t>
  </si>
  <si>
    <t>output9</t>
  </si>
  <si>
    <t>output10</t>
  </si>
  <si>
    <t>Critical value</t>
  </si>
  <si>
    <t>output11</t>
  </si>
  <si>
    <t>C:\QRT 2025 Reconstruction of Liquid Asset Performance\Data\X_train_itDkypA.csv</t>
  </si>
  <si>
    <t>Enhancement</t>
  </si>
  <si>
    <t>Model 1</t>
  </si>
  <si>
    <t>Optimal Estimate</t>
  </si>
  <si>
    <t>x_y then x_x</t>
  </si>
  <si>
    <t>Optimization Approach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</si>
</sst>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" x14ac:knownFonts="1">
    <font>
      <sz val="11"/>
      <color theme="1"/>
      <name val="Aptos Narrow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2">
    <border>
      <left/>
      <right/>
      <top/>
      <bottom/>
      <diagonal/>
    </border>
    <border>
      <left/>
      <right/>
      <top/>
      <bottom style="thin">
        <color indexed="64"/>
      </bottom>
      <diagonal/>
    </border>
  </borders>
  <cellStyleXfs count="1">
    <xf numFmtId="0" fontId="0" fillId="0" borderId="0"/>
  </cellStyleXfs>
  <cellXfs count="4">
    <xf numFmtId="0" fontId="0" fillId="0" borderId="0" xfId="0"/>
    <xf numFmtId="14" fontId="0" fillId="0" borderId="0" xfId="0" applyNumberFormat="1"/>
    <xf numFmtId="0" fontId="0" fillId="0" borderId="1" xfId="0" applyBorder="1"/>
    <xf numFmtId="0" fontId="0" fillId="2" borderId="0" xfId="0" applyFill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microsoft.com/office/2017/10/relationships/person" Target="persons/perso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persons/person.xml><?xml version="1.0" encoding="utf-8"?>
<personList xmlns="http://schemas.microsoft.com/office/spreadsheetml/2018/threadedcomments" xmlns:x="http://schemas.openxmlformats.org/spreadsheetml/2006/main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18F979B-C8C2-4069-BC3E-0206FA26EF30}">
  <dimension ref="A1:D101"/>
  <sheetViews>
    <sheetView workbookViewId="0"/>
  </sheetViews>
  <sheetFormatPr defaultRowHeight="14.5" x14ac:dyDescent="0.35"/>
  <cols>
    <col min="1" max="1" width="15.81640625" bestFit="1" customWidth="1"/>
    <col min="2" max="2" width="15" bestFit="1" customWidth="1"/>
    <col min="4" max="4" width="12.1796875" bestFit="1" customWidth="1"/>
  </cols>
  <sheetData>
    <row r="1" spans="1:4" x14ac:dyDescent="0.35">
      <c r="A1" t="s">
        <v>0</v>
      </c>
      <c r="B1" t="s">
        <v>1</v>
      </c>
      <c r="D1" t="s">
        <v>2</v>
      </c>
    </row>
    <row r="2" spans="1:4" x14ac:dyDescent="0.35">
      <c r="A2">
        <v>1</v>
      </c>
      <c r="B2">
        <v>2498</v>
      </c>
      <c r="D2" t="s">
        <v>26</v>
      </c>
    </row>
    <row r="3" spans="1:4" x14ac:dyDescent="0.35">
      <c r="A3">
        <v>3</v>
      </c>
      <c r="B3">
        <v>2696</v>
      </c>
    </row>
    <row r="4" spans="1:4" x14ac:dyDescent="0.35">
      <c r="A4">
        <v>7</v>
      </c>
      <c r="B4">
        <v>2698</v>
      </c>
    </row>
    <row r="5" spans="1:4" x14ac:dyDescent="0.35">
      <c r="A5">
        <v>8</v>
      </c>
      <c r="B5">
        <v>2693</v>
      </c>
    </row>
    <row r="6" spans="1:4" x14ac:dyDescent="0.35">
      <c r="A6">
        <v>9</v>
      </c>
      <c r="B6">
        <v>2628</v>
      </c>
    </row>
    <row r="7" spans="1:4" x14ac:dyDescent="0.35">
      <c r="A7">
        <v>13</v>
      </c>
      <c r="B7">
        <v>2694</v>
      </c>
    </row>
    <row r="8" spans="1:4" x14ac:dyDescent="0.35">
      <c r="A8">
        <v>16</v>
      </c>
      <c r="B8">
        <v>2714</v>
      </c>
    </row>
    <row r="9" spans="1:4" x14ac:dyDescent="0.35">
      <c r="A9">
        <v>17</v>
      </c>
      <c r="B9">
        <v>2692</v>
      </c>
    </row>
    <row r="10" spans="1:4" x14ac:dyDescent="0.35">
      <c r="A10">
        <v>19</v>
      </c>
      <c r="B10">
        <v>2728</v>
      </c>
    </row>
    <row r="11" spans="1:4" x14ac:dyDescent="0.35">
      <c r="A11">
        <v>21</v>
      </c>
      <c r="B11">
        <v>2695</v>
      </c>
    </row>
    <row r="12" spans="1:4" x14ac:dyDescent="0.35">
      <c r="A12">
        <v>22</v>
      </c>
      <c r="B12">
        <v>2701</v>
      </c>
    </row>
    <row r="13" spans="1:4" x14ac:dyDescent="0.35">
      <c r="A13">
        <v>25</v>
      </c>
      <c r="B13">
        <v>2694</v>
      </c>
    </row>
    <row r="14" spans="1:4" x14ac:dyDescent="0.35">
      <c r="A14">
        <v>28</v>
      </c>
      <c r="B14">
        <v>2639</v>
      </c>
    </row>
    <row r="15" spans="1:4" x14ac:dyDescent="0.35">
      <c r="A15">
        <v>29</v>
      </c>
      <c r="B15">
        <v>2735</v>
      </c>
    </row>
    <row r="16" spans="1:4" x14ac:dyDescent="0.35">
      <c r="A16">
        <v>33</v>
      </c>
      <c r="B16">
        <v>2678</v>
      </c>
    </row>
    <row r="17" spans="1:2" x14ac:dyDescent="0.35">
      <c r="A17">
        <v>34</v>
      </c>
      <c r="B17">
        <v>2715</v>
      </c>
    </row>
    <row r="18" spans="1:2" x14ac:dyDescent="0.35">
      <c r="A18">
        <v>38</v>
      </c>
      <c r="B18">
        <v>2622</v>
      </c>
    </row>
    <row r="19" spans="1:2" x14ac:dyDescent="0.35">
      <c r="A19">
        <v>39</v>
      </c>
      <c r="B19">
        <v>2661</v>
      </c>
    </row>
    <row r="20" spans="1:2" x14ac:dyDescent="0.35">
      <c r="A20">
        <v>44</v>
      </c>
      <c r="B20">
        <v>2699</v>
      </c>
    </row>
    <row r="21" spans="1:2" x14ac:dyDescent="0.35">
      <c r="A21">
        <v>51</v>
      </c>
      <c r="B21">
        <v>2633</v>
      </c>
    </row>
    <row r="22" spans="1:2" x14ac:dyDescent="0.35">
      <c r="A22">
        <v>52</v>
      </c>
      <c r="B22">
        <v>2621</v>
      </c>
    </row>
    <row r="23" spans="1:2" x14ac:dyDescent="0.35">
      <c r="A23">
        <v>54</v>
      </c>
      <c r="B23">
        <v>2644</v>
      </c>
    </row>
    <row r="24" spans="1:2" x14ac:dyDescent="0.35">
      <c r="A24">
        <v>65</v>
      </c>
      <c r="B24">
        <v>2645</v>
      </c>
    </row>
    <row r="25" spans="1:2" x14ac:dyDescent="0.35">
      <c r="A25">
        <v>68</v>
      </c>
      <c r="B25">
        <v>2719</v>
      </c>
    </row>
    <row r="26" spans="1:2" x14ac:dyDescent="0.35">
      <c r="A26">
        <v>69</v>
      </c>
      <c r="B26">
        <v>2543</v>
      </c>
    </row>
    <row r="27" spans="1:2" x14ac:dyDescent="0.35">
      <c r="A27">
        <v>75</v>
      </c>
      <c r="B27">
        <v>2681</v>
      </c>
    </row>
    <row r="28" spans="1:2" x14ac:dyDescent="0.35">
      <c r="A28">
        <v>76</v>
      </c>
      <c r="B28">
        <v>2692</v>
      </c>
    </row>
    <row r="29" spans="1:2" x14ac:dyDescent="0.35">
      <c r="A29">
        <v>78</v>
      </c>
      <c r="B29">
        <v>2529</v>
      </c>
    </row>
    <row r="30" spans="1:2" x14ac:dyDescent="0.35">
      <c r="A30">
        <v>80</v>
      </c>
      <c r="B30">
        <v>2509</v>
      </c>
    </row>
    <row r="31" spans="1:2" x14ac:dyDescent="0.35">
      <c r="A31">
        <v>85</v>
      </c>
      <c r="B31">
        <v>2670</v>
      </c>
    </row>
    <row r="32" spans="1:2" x14ac:dyDescent="0.35">
      <c r="A32">
        <v>90</v>
      </c>
      <c r="B32">
        <v>2646</v>
      </c>
    </row>
    <row r="33" spans="1:2" x14ac:dyDescent="0.35">
      <c r="A33">
        <v>91</v>
      </c>
      <c r="B33">
        <v>2686</v>
      </c>
    </row>
    <row r="34" spans="1:2" x14ac:dyDescent="0.35">
      <c r="A34">
        <v>93</v>
      </c>
      <c r="B34">
        <v>2612</v>
      </c>
    </row>
    <row r="35" spans="1:2" x14ac:dyDescent="0.35">
      <c r="A35">
        <v>96</v>
      </c>
      <c r="B35">
        <v>2383</v>
      </c>
    </row>
    <row r="36" spans="1:2" x14ac:dyDescent="0.35">
      <c r="A36">
        <v>98</v>
      </c>
      <c r="B36">
        <v>2732</v>
      </c>
    </row>
    <row r="37" spans="1:2" x14ac:dyDescent="0.35">
      <c r="A37">
        <v>102</v>
      </c>
      <c r="B37">
        <v>2617</v>
      </c>
    </row>
    <row r="38" spans="1:2" x14ac:dyDescent="0.35">
      <c r="A38">
        <v>106</v>
      </c>
      <c r="B38">
        <v>2434</v>
      </c>
    </row>
    <row r="39" spans="1:2" x14ac:dyDescent="0.35">
      <c r="A39">
        <v>109</v>
      </c>
      <c r="B39">
        <v>2663</v>
      </c>
    </row>
    <row r="40" spans="1:2" x14ac:dyDescent="0.35">
      <c r="A40">
        <v>114</v>
      </c>
      <c r="B40">
        <v>2602</v>
      </c>
    </row>
    <row r="41" spans="1:2" x14ac:dyDescent="0.35">
      <c r="A41">
        <v>119</v>
      </c>
      <c r="B41">
        <v>2624</v>
      </c>
    </row>
    <row r="42" spans="1:2" x14ac:dyDescent="0.35">
      <c r="A42">
        <v>129</v>
      </c>
      <c r="B42">
        <v>2704</v>
      </c>
    </row>
    <row r="43" spans="1:2" x14ac:dyDescent="0.35">
      <c r="A43">
        <v>130</v>
      </c>
      <c r="B43">
        <v>2736</v>
      </c>
    </row>
    <row r="44" spans="1:2" x14ac:dyDescent="0.35">
      <c r="A44">
        <v>131</v>
      </c>
      <c r="B44">
        <v>2734</v>
      </c>
    </row>
    <row r="45" spans="1:2" x14ac:dyDescent="0.35">
      <c r="A45">
        <v>132</v>
      </c>
      <c r="B45">
        <v>2701</v>
      </c>
    </row>
    <row r="46" spans="1:2" x14ac:dyDescent="0.35">
      <c r="A46">
        <v>133</v>
      </c>
      <c r="B46">
        <v>2725</v>
      </c>
    </row>
    <row r="47" spans="1:2" x14ac:dyDescent="0.35">
      <c r="A47">
        <v>136</v>
      </c>
      <c r="B47">
        <v>2741</v>
      </c>
    </row>
    <row r="48" spans="1:2" x14ac:dyDescent="0.35">
      <c r="A48">
        <v>137</v>
      </c>
      <c r="B48">
        <v>2673</v>
      </c>
    </row>
    <row r="49" spans="1:2" x14ac:dyDescent="0.35">
      <c r="A49">
        <v>139</v>
      </c>
      <c r="B49">
        <v>2739</v>
      </c>
    </row>
    <row r="50" spans="1:2" x14ac:dyDescent="0.35">
      <c r="A50">
        <v>141</v>
      </c>
      <c r="B50">
        <v>2607</v>
      </c>
    </row>
    <row r="51" spans="1:2" x14ac:dyDescent="0.35">
      <c r="A51">
        <v>144</v>
      </c>
      <c r="B51">
        <v>2715</v>
      </c>
    </row>
    <row r="52" spans="1:2" x14ac:dyDescent="0.35">
      <c r="A52">
        <v>145</v>
      </c>
      <c r="B52">
        <v>2722</v>
      </c>
    </row>
    <row r="53" spans="1:2" x14ac:dyDescent="0.35">
      <c r="A53">
        <v>149</v>
      </c>
      <c r="B53">
        <v>2737</v>
      </c>
    </row>
    <row r="54" spans="1:2" x14ac:dyDescent="0.35">
      <c r="A54">
        <v>151</v>
      </c>
      <c r="B54">
        <v>2656</v>
      </c>
    </row>
    <row r="55" spans="1:2" x14ac:dyDescent="0.35">
      <c r="A55">
        <v>152</v>
      </c>
      <c r="B55">
        <v>2722</v>
      </c>
    </row>
    <row r="56" spans="1:2" x14ac:dyDescent="0.35">
      <c r="A56">
        <v>154</v>
      </c>
      <c r="B56">
        <v>2671</v>
      </c>
    </row>
    <row r="57" spans="1:2" x14ac:dyDescent="0.35">
      <c r="A57">
        <v>155</v>
      </c>
      <c r="B57">
        <v>2729</v>
      </c>
    </row>
    <row r="58" spans="1:2" x14ac:dyDescent="0.35">
      <c r="A58">
        <v>157</v>
      </c>
      <c r="B58">
        <v>2669</v>
      </c>
    </row>
    <row r="59" spans="1:2" x14ac:dyDescent="0.35">
      <c r="A59">
        <v>158</v>
      </c>
      <c r="B59">
        <v>2732</v>
      </c>
    </row>
    <row r="60" spans="1:2" x14ac:dyDescent="0.35">
      <c r="A60">
        <v>161</v>
      </c>
      <c r="B60">
        <v>2706</v>
      </c>
    </row>
    <row r="61" spans="1:2" x14ac:dyDescent="0.35">
      <c r="A61">
        <v>166</v>
      </c>
      <c r="B61">
        <v>2657</v>
      </c>
    </row>
    <row r="62" spans="1:2" x14ac:dyDescent="0.35">
      <c r="A62">
        <v>167</v>
      </c>
      <c r="B62">
        <v>2513</v>
      </c>
    </row>
    <row r="63" spans="1:2" x14ac:dyDescent="0.35">
      <c r="A63">
        <v>173</v>
      </c>
      <c r="B63">
        <v>2700</v>
      </c>
    </row>
    <row r="64" spans="1:2" x14ac:dyDescent="0.35">
      <c r="A64">
        <v>175</v>
      </c>
      <c r="B64">
        <v>2697</v>
      </c>
    </row>
    <row r="65" spans="1:2" x14ac:dyDescent="0.35">
      <c r="A65">
        <v>177</v>
      </c>
      <c r="B65">
        <v>2726</v>
      </c>
    </row>
    <row r="66" spans="1:2" x14ac:dyDescent="0.35">
      <c r="A66">
        <v>178</v>
      </c>
      <c r="B66">
        <v>2729</v>
      </c>
    </row>
    <row r="67" spans="1:2" x14ac:dyDescent="0.35">
      <c r="A67">
        <v>183</v>
      </c>
      <c r="B67">
        <v>2701</v>
      </c>
    </row>
    <row r="68" spans="1:2" x14ac:dyDescent="0.35">
      <c r="A68">
        <v>185</v>
      </c>
      <c r="B68">
        <v>2622</v>
      </c>
    </row>
    <row r="69" spans="1:2" x14ac:dyDescent="0.35">
      <c r="A69">
        <v>189</v>
      </c>
      <c r="B69">
        <v>2656</v>
      </c>
    </row>
    <row r="70" spans="1:2" x14ac:dyDescent="0.35">
      <c r="A70">
        <v>190</v>
      </c>
      <c r="B70">
        <v>2724</v>
      </c>
    </row>
    <row r="71" spans="1:2" x14ac:dyDescent="0.35">
      <c r="A71">
        <v>196</v>
      </c>
      <c r="B71">
        <v>2738</v>
      </c>
    </row>
    <row r="72" spans="1:2" x14ac:dyDescent="0.35">
      <c r="A72">
        <v>202</v>
      </c>
      <c r="B72">
        <v>2652</v>
      </c>
    </row>
    <row r="73" spans="1:2" x14ac:dyDescent="0.35">
      <c r="A73">
        <v>206</v>
      </c>
      <c r="B73">
        <v>2628</v>
      </c>
    </row>
    <row r="74" spans="1:2" x14ac:dyDescent="0.35">
      <c r="A74">
        <v>207</v>
      </c>
      <c r="B74">
        <v>2684</v>
      </c>
    </row>
    <row r="75" spans="1:2" x14ac:dyDescent="0.35">
      <c r="A75">
        <v>209</v>
      </c>
      <c r="B75">
        <v>2718</v>
      </c>
    </row>
    <row r="76" spans="1:2" x14ac:dyDescent="0.35">
      <c r="A76">
        <v>214</v>
      </c>
      <c r="B76">
        <v>2723</v>
      </c>
    </row>
    <row r="77" spans="1:2" x14ac:dyDescent="0.35">
      <c r="A77">
        <v>217</v>
      </c>
      <c r="B77">
        <v>2718</v>
      </c>
    </row>
    <row r="78" spans="1:2" x14ac:dyDescent="0.35">
      <c r="A78">
        <v>218</v>
      </c>
      <c r="B78">
        <v>2718</v>
      </c>
    </row>
    <row r="79" spans="1:2" x14ac:dyDescent="0.35">
      <c r="A79">
        <v>225</v>
      </c>
      <c r="B79">
        <v>2739</v>
      </c>
    </row>
    <row r="80" spans="1:2" x14ac:dyDescent="0.35">
      <c r="A80">
        <v>228</v>
      </c>
      <c r="B80">
        <v>2713</v>
      </c>
    </row>
    <row r="81" spans="1:2" x14ac:dyDescent="0.35">
      <c r="A81">
        <v>231</v>
      </c>
      <c r="B81">
        <v>2732</v>
      </c>
    </row>
    <row r="82" spans="1:2" x14ac:dyDescent="0.35">
      <c r="A82">
        <v>234</v>
      </c>
      <c r="B82">
        <v>2514</v>
      </c>
    </row>
    <row r="83" spans="1:2" x14ac:dyDescent="0.35">
      <c r="A83">
        <v>239</v>
      </c>
      <c r="B83">
        <v>2656</v>
      </c>
    </row>
    <row r="84" spans="1:2" x14ac:dyDescent="0.35">
      <c r="A84">
        <v>241</v>
      </c>
      <c r="B84">
        <v>2452</v>
      </c>
    </row>
    <row r="85" spans="1:2" x14ac:dyDescent="0.35">
      <c r="A85">
        <v>244</v>
      </c>
      <c r="B85">
        <v>2726</v>
      </c>
    </row>
    <row r="86" spans="1:2" x14ac:dyDescent="0.35">
      <c r="A86">
        <v>246</v>
      </c>
      <c r="B86">
        <v>2677</v>
      </c>
    </row>
    <row r="87" spans="1:2" x14ac:dyDescent="0.35">
      <c r="A87">
        <v>249</v>
      </c>
      <c r="B87">
        <v>2667</v>
      </c>
    </row>
    <row r="88" spans="1:2" x14ac:dyDescent="0.35">
      <c r="A88">
        <v>251</v>
      </c>
      <c r="B88">
        <v>2734</v>
      </c>
    </row>
    <row r="89" spans="1:2" x14ac:dyDescent="0.35">
      <c r="A89">
        <v>257</v>
      </c>
      <c r="B89">
        <v>2680</v>
      </c>
    </row>
    <row r="90" spans="1:2" x14ac:dyDescent="0.35">
      <c r="A90">
        <v>258</v>
      </c>
      <c r="B90">
        <v>2633</v>
      </c>
    </row>
    <row r="91" spans="1:2" x14ac:dyDescent="0.35">
      <c r="A91">
        <v>269</v>
      </c>
      <c r="B91">
        <v>2680</v>
      </c>
    </row>
    <row r="92" spans="1:2" x14ac:dyDescent="0.35">
      <c r="A92">
        <v>272</v>
      </c>
      <c r="B92">
        <v>2727</v>
      </c>
    </row>
    <row r="93" spans="1:2" x14ac:dyDescent="0.35">
      <c r="A93">
        <v>274</v>
      </c>
      <c r="B93">
        <v>2733</v>
      </c>
    </row>
    <row r="94" spans="1:2" x14ac:dyDescent="0.35">
      <c r="A94">
        <v>278</v>
      </c>
      <c r="B94">
        <v>2707</v>
      </c>
    </row>
    <row r="95" spans="1:2" x14ac:dyDescent="0.35">
      <c r="A95">
        <v>279</v>
      </c>
      <c r="B95">
        <v>2706</v>
      </c>
    </row>
    <row r="96" spans="1:2" x14ac:dyDescent="0.35">
      <c r="A96">
        <v>282</v>
      </c>
      <c r="B96">
        <v>2650</v>
      </c>
    </row>
    <row r="97" spans="1:2" x14ac:dyDescent="0.35">
      <c r="A97">
        <v>284</v>
      </c>
      <c r="B97">
        <v>2669</v>
      </c>
    </row>
    <row r="98" spans="1:2" x14ac:dyDescent="0.35">
      <c r="A98">
        <v>289</v>
      </c>
      <c r="B98">
        <v>2711</v>
      </c>
    </row>
    <row r="99" spans="1:2" x14ac:dyDescent="0.35">
      <c r="A99">
        <v>290</v>
      </c>
      <c r="B99">
        <v>2655</v>
      </c>
    </row>
    <row r="100" spans="1:2" x14ac:dyDescent="0.35">
      <c r="A100">
        <v>291</v>
      </c>
      <c r="B100">
        <v>2741</v>
      </c>
    </row>
    <row r="101" spans="1:2" x14ac:dyDescent="0.35">
      <c r="A101">
        <v>292</v>
      </c>
      <c r="B101">
        <v>2710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12A46F1-6D6E-4CE2-A96B-102B7B293B3F}">
  <dimension ref="A1:I101"/>
  <sheetViews>
    <sheetView zoomScale="130" zoomScaleNormal="130" workbookViewId="0">
      <selection activeCell="G1" sqref="G1"/>
    </sheetView>
  </sheetViews>
  <sheetFormatPr defaultRowHeight="14.5" x14ac:dyDescent="0.35"/>
  <cols>
    <col min="1" max="1" width="15.08984375" bestFit="1" customWidth="1"/>
    <col min="2" max="3" width="14.26953125" bestFit="1" customWidth="1"/>
    <col min="4" max="4" width="14.54296875" bestFit="1" customWidth="1"/>
    <col min="5" max="5" width="14.26953125" customWidth="1"/>
    <col min="6" max="6" width="14.54296875" bestFit="1" customWidth="1"/>
    <col min="7" max="7" width="14.7265625" customWidth="1"/>
  </cols>
  <sheetData>
    <row r="1" spans="1:9" x14ac:dyDescent="0.35">
      <c r="A1" t="s">
        <v>0</v>
      </c>
      <c r="B1" t="s">
        <v>1</v>
      </c>
      <c r="C1" t="s">
        <v>7</v>
      </c>
      <c r="D1" t="s">
        <v>8</v>
      </c>
      <c r="E1" t="s">
        <v>5</v>
      </c>
      <c r="F1" t="s">
        <v>5</v>
      </c>
      <c r="G1" t="s">
        <v>27</v>
      </c>
    </row>
    <row r="2" spans="1:9" x14ac:dyDescent="0.35">
      <c r="A2">
        <v>1</v>
      </c>
      <c r="B2">
        <v>2498</v>
      </c>
      <c r="C2">
        <v>0.218</v>
      </c>
      <c r="D2">
        <v>0.41099999999999998</v>
      </c>
      <c r="E2">
        <v>1.9411999999999999E-2</v>
      </c>
      <c r="F2">
        <v>1.9307000000000001E-2</v>
      </c>
      <c r="G2">
        <f t="shared" ref="G2:G65" si="0">E2-F2</f>
        <v>1.0499999999999746E-4</v>
      </c>
    </row>
    <row r="3" spans="1:9" x14ac:dyDescent="0.35">
      <c r="A3">
        <v>3</v>
      </c>
      <c r="B3">
        <v>2696</v>
      </c>
      <c r="C3">
        <v>0.16600000000000001</v>
      </c>
      <c r="D3">
        <v>0.38</v>
      </c>
      <c r="E3">
        <v>1.2255E-2</v>
      </c>
      <c r="F3">
        <v>1.2232E-2</v>
      </c>
      <c r="G3">
        <f t="shared" si="0"/>
        <v>2.3000000000000451E-5</v>
      </c>
    </row>
    <row r="4" spans="1:9" x14ac:dyDescent="0.35">
      <c r="A4">
        <v>7</v>
      </c>
      <c r="B4">
        <v>2698</v>
      </c>
      <c r="C4">
        <v>0.215</v>
      </c>
      <c r="D4">
        <v>0.48</v>
      </c>
      <c r="E4">
        <v>1.3624000000000001E-2</v>
      </c>
      <c r="F4">
        <v>1.3622E-2</v>
      </c>
      <c r="G4">
        <f t="shared" si="0"/>
        <v>2.0000000000002655E-6</v>
      </c>
    </row>
    <row r="5" spans="1:9" x14ac:dyDescent="0.35">
      <c r="A5">
        <v>8</v>
      </c>
      <c r="B5">
        <v>2693</v>
      </c>
      <c r="C5">
        <v>0.16</v>
      </c>
      <c r="D5">
        <v>0.6</v>
      </c>
      <c r="E5">
        <v>1.0316000000000001E-2</v>
      </c>
      <c r="F5">
        <v>1.0316000000000001E-2</v>
      </c>
      <c r="G5">
        <f t="shared" si="0"/>
        <v>0</v>
      </c>
    </row>
    <row r="6" spans="1:9" s="2" customFormat="1" x14ac:dyDescent="0.35">
      <c r="A6" s="2">
        <v>9</v>
      </c>
      <c r="B6" s="2">
        <v>2628</v>
      </c>
      <c r="C6" s="2">
        <v>1.4999999999999999E-2</v>
      </c>
      <c r="D6" s="2">
        <v>0.42699999999999999</v>
      </c>
      <c r="E6" s="2">
        <v>1.2718999999999999E-2</v>
      </c>
      <c r="F6" s="2">
        <v>1.2678999999999999E-2</v>
      </c>
      <c r="G6" s="2">
        <f t="shared" si="0"/>
        <v>4.0000000000000105E-5</v>
      </c>
      <c r="I6" s="2" t="s">
        <v>18</v>
      </c>
    </row>
    <row r="7" spans="1:9" x14ac:dyDescent="0.35">
      <c r="A7">
        <v>13</v>
      </c>
      <c r="B7">
        <v>2694</v>
      </c>
      <c r="C7">
        <v>0.26</v>
      </c>
      <c r="D7">
        <v>0.41</v>
      </c>
      <c r="E7">
        <v>1.1011999999999999E-2</v>
      </c>
      <c r="F7">
        <v>1.0943E-2</v>
      </c>
      <c r="G7">
        <f t="shared" si="0"/>
        <v>6.8999999999999617E-5</v>
      </c>
      <c r="I7" t="s">
        <v>17</v>
      </c>
    </row>
    <row r="8" spans="1:9" x14ac:dyDescent="0.35">
      <c r="A8">
        <v>16</v>
      </c>
      <c r="B8">
        <v>2714</v>
      </c>
      <c r="C8">
        <v>0.19</v>
      </c>
      <c r="D8">
        <v>0.39</v>
      </c>
      <c r="E8">
        <v>1.4128999999999999E-2</v>
      </c>
      <c r="F8">
        <v>1.4104E-2</v>
      </c>
      <c r="G8">
        <f t="shared" si="0"/>
        <v>2.4999999999998981E-5</v>
      </c>
    </row>
    <row r="9" spans="1:9" x14ac:dyDescent="0.35">
      <c r="A9">
        <v>17</v>
      </c>
      <c r="B9">
        <v>2692</v>
      </c>
      <c r="C9">
        <v>0.2</v>
      </c>
      <c r="D9">
        <v>0.67</v>
      </c>
      <c r="E9">
        <v>1.5476E-2</v>
      </c>
      <c r="F9">
        <v>1.5455E-2</v>
      </c>
      <c r="G9">
        <f t="shared" si="0"/>
        <v>2.1000000000000185E-5</v>
      </c>
    </row>
    <row r="10" spans="1:9" x14ac:dyDescent="0.35">
      <c r="A10">
        <v>19</v>
      </c>
      <c r="B10">
        <v>2728</v>
      </c>
      <c r="C10">
        <v>0.24</v>
      </c>
      <c r="D10">
        <v>0.56999999999999995</v>
      </c>
      <c r="E10">
        <v>1.4010999999999999E-2</v>
      </c>
      <c r="F10">
        <v>1.3686E-2</v>
      </c>
      <c r="G10">
        <f t="shared" si="0"/>
        <v>3.249999999999989E-4</v>
      </c>
    </row>
    <row r="11" spans="1:9" x14ac:dyDescent="0.35">
      <c r="A11">
        <v>21</v>
      </c>
      <c r="B11">
        <v>2695</v>
      </c>
      <c r="C11">
        <v>0.17</v>
      </c>
      <c r="D11">
        <v>0.4</v>
      </c>
      <c r="E11">
        <v>1.6552000000000001E-2</v>
      </c>
      <c r="F11">
        <v>1.6507999999999998E-2</v>
      </c>
      <c r="G11">
        <f t="shared" si="0"/>
        <v>4.4000000000002371E-5</v>
      </c>
    </row>
    <row r="12" spans="1:9" x14ac:dyDescent="0.35">
      <c r="A12">
        <v>22</v>
      </c>
      <c r="B12">
        <v>2701</v>
      </c>
      <c r="C12">
        <v>0.18</v>
      </c>
      <c r="D12">
        <v>0.41</v>
      </c>
      <c r="E12">
        <v>1.3698999999999999E-2</v>
      </c>
      <c r="F12">
        <v>1.3643000000000001E-2</v>
      </c>
      <c r="G12">
        <f t="shared" si="0"/>
        <v>5.5999999999998759E-5</v>
      </c>
    </row>
    <row r="13" spans="1:9" x14ac:dyDescent="0.35">
      <c r="A13">
        <v>25</v>
      </c>
      <c r="B13">
        <v>2694</v>
      </c>
      <c r="C13">
        <v>0.24</v>
      </c>
      <c r="D13">
        <v>0.7</v>
      </c>
      <c r="E13">
        <v>1.1997000000000001E-2</v>
      </c>
      <c r="F13">
        <v>1.1917000000000001E-2</v>
      </c>
      <c r="G13">
        <f t="shared" si="0"/>
        <v>8.000000000000021E-5</v>
      </c>
    </row>
    <row r="14" spans="1:9" x14ac:dyDescent="0.35">
      <c r="A14">
        <v>28</v>
      </c>
      <c r="B14">
        <v>2639</v>
      </c>
      <c r="C14">
        <v>0.21</v>
      </c>
      <c r="D14">
        <v>0.41</v>
      </c>
      <c r="E14">
        <v>1.7399999999999999E-2</v>
      </c>
      <c r="F14">
        <v>1.7225000000000001E-2</v>
      </c>
      <c r="G14">
        <f t="shared" si="0"/>
        <v>1.7499999999999807E-4</v>
      </c>
    </row>
    <row r="15" spans="1:9" x14ac:dyDescent="0.35">
      <c r="A15">
        <v>29</v>
      </c>
      <c r="B15">
        <v>2735</v>
      </c>
      <c r="C15">
        <v>0.15</v>
      </c>
      <c r="D15">
        <v>0.44</v>
      </c>
      <c r="E15">
        <v>1.2522E-2</v>
      </c>
      <c r="F15">
        <v>1.2498E-2</v>
      </c>
      <c r="G15">
        <f t="shared" si="0"/>
        <v>2.3999999999999716E-5</v>
      </c>
    </row>
    <row r="16" spans="1:9" x14ac:dyDescent="0.35">
      <c r="A16">
        <v>33</v>
      </c>
      <c r="B16">
        <v>2678</v>
      </c>
      <c r="C16">
        <v>0.15</v>
      </c>
      <c r="D16">
        <v>0.36</v>
      </c>
      <c r="E16">
        <v>1.4071999999999999E-2</v>
      </c>
      <c r="F16">
        <v>1.3953E-2</v>
      </c>
      <c r="G16">
        <f t="shared" si="0"/>
        <v>1.1899999999999931E-4</v>
      </c>
    </row>
    <row r="17" spans="1:7" x14ac:dyDescent="0.35">
      <c r="A17">
        <v>34</v>
      </c>
      <c r="B17">
        <v>2715</v>
      </c>
      <c r="C17">
        <v>0.25</v>
      </c>
      <c r="D17">
        <v>0.8</v>
      </c>
      <c r="E17">
        <v>1.4562E-2</v>
      </c>
      <c r="F17">
        <v>1.4371E-2</v>
      </c>
      <c r="G17">
        <f t="shared" si="0"/>
        <v>1.910000000000002E-4</v>
      </c>
    </row>
    <row r="18" spans="1:7" x14ac:dyDescent="0.35">
      <c r="A18">
        <v>38</v>
      </c>
      <c r="B18">
        <v>2622</v>
      </c>
      <c r="C18">
        <v>0.19</v>
      </c>
      <c r="D18">
        <v>0.35</v>
      </c>
      <c r="E18">
        <v>1.3797E-2</v>
      </c>
      <c r="F18">
        <v>1.3736999999999999E-2</v>
      </c>
      <c r="G18">
        <f t="shared" si="0"/>
        <v>6.0000000000001025E-5</v>
      </c>
    </row>
    <row r="19" spans="1:7" x14ac:dyDescent="0.35">
      <c r="A19">
        <v>39</v>
      </c>
      <c r="B19">
        <v>2661</v>
      </c>
      <c r="C19">
        <v>0.27</v>
      </c>
      <c r="D19">
        <v>0.41</v>
      </c>
      <c r="E19">
        <v>1.0595E-2</v>
      </c>
      <c r="F19">
        <v>1.0562999999999999E-2</v>
      </c>
      <c r="G19">
        <f t="shared" si="0"/>
        <v>3.2000000000000778E-5</v>
      </c>
    </row>
    <row r="20" spans="1:7" x14ac:dyDescent="0.35">
      <c r="A20">
        <v>44</v>
      </c>
      <c r="B20">
        <v>2699</v>
      </c>
      <c r="C20">
        <v>0.16</v>
      </c>
      <c r="D20">
        <v>0.56999999999999995</v>
      </c>
      <c r="E20">
        <v>1.4312E-2</v>
      </c>
      <c r="F20">
        <v>1.4120000000000001E-2</v>
      </c>
      <c r="G20">
        <f t="shared" si="0"/>
        <v>1.9199999999999946E-4</v>
      </c>
    </row>
    <row r="21" spans="1:7" x14ac:dyDescent="0.35">
      <c r="A21">
        <v>51</v>
      </c>
      <c r="B21">
        <v>2633</v>
      </c>
      <c r="C21">
        <v>0.26</v>
      </c>
      <c r="D21">
        <v>0.38</v>
      </c>
      <c r="E21">
        <v>1.5188999999999999E-2</v>
      </c>
      <c r="F21">
        <v>1.5188999999999999E-2</v>
      </c>
      <c r="G21">
        <f t="shared" si="0"/>
        <v>0</v>
      </c>
    </row>
    <row r="22" spans="1:7" x14ac:dyDescent="0.35">
      <c r="A22">
        <v>52</v>
      </c>
      <c r="B22">
        <v>2621</v>
      </c>
      <c r="C22">
        <v>0.23</v>
      </c>
      <c r="D22">
        <v>0.61</v>
      </c>
      <c r="E22">
        <v>1.244E-2</v>
      </c>
      <c r="F22">
        <v>1.2189999999999999E-2</v>
      </c>
      <c r="G22">
        <f t="shared" si="0"/>
        <v>2.5000000000000022E-4</v>
      </c>
    </row>
    <row r="23" spans="1:7" x14ac:dyDescent="0.35">
      <c r="A23">
        <v>54</v>
      </c>
      <c r="B23">
        <v>2644</v>
      </c>
      <c r="C23">
        <v>0.17</v>
      </c>
      <c r="D23">
        <v>0.69</v>
      </c>
      <c r="E23">
        <v>1.3927999999999999E-2</v>
      </c>
      <c r="F23">
        <v>1.3899E-2</v>
      </c>
      <c r="G23">
        <f t="shared" si="0"/>
        <v>2.8999999999999512E-5</v>
      </c>
    </row>
    <row r="24" spans="1:7" x14ac:dyDescent="0.35">
      <c r="A24">
        <v>65</v>
      </c>
      <c r="B24">
        <v>2645</v>
      </c>
      <c r="C24">
        <v>0.26</v>
      </c>
      <c r="D24">
        <v>0.6</v>
      </c>
      <c r="E24">
        <v>1.1519E-2</v>
      </c>
      <c r="F24">
        <v>1.0992E-2</v>
      </c>
      <c r="G24">
        <f t="shared" si="0"/>
        <v>5.2699999999999969E-4</v>
      </c>
    </row>
    <row r="25" spans="1:7" x14ac:dyDescent="0.35">
      <c r="A25">
        <v>68</v>
      </c>
      <c r="B25">
        <v>2719</v>
      </c>
      <c r="C25">
        <v>0.28000000000000003</v>
      </c>
      <c r="D25">
        <v>0.6</v>
      </c>
      <c r="E25">
        <v>1.549E-2</v>
      </c>
      <c r="F25">
        <v>1.5447000000000001E-2</v>
      </c>
      <c r="G25">
        <f t="shared" si="0"/>
        <v>4.2999999999999636E-5</v>
      </c>
    </row>
    <row r="26" spans="1:7" x14ac:dyDescent="0.35">
      <c r="A26">
        <v>69</v>
      </c>
      <c r="B26">
        <v>2543</v>
      </c>
      <c r="C26">
        <v>0.23</v>
      </c>
      <c r="D26">
        <v>0.39</v>
      </c>
      <c r="E26">
        <v>1.4801E-2</v>
      </c>
      <c r="F26">
        <v>1.4756999999999999E-2</v>
      </c>
      <c r="G26">
        <f t="shared" si="0"/>
        <v>4.4000000000000636E-5</v>
      </c>
    </row>
    <row r="27" spans="1:7" x14ac:dyDescent="0.35">
      <c r="A27">
        <v>75</v>
      </c>
      <c r="B27">
        <v>2681</v>
      </c>
      <c r="C27">
        <v>0.28000000000000003</v>
      </c>
      <c r="D27">
        <v>0.55000000000000004</v>
      </c>
      <c r="E27">
        <v>1.5716000000000001E-2</v>
      </c>
      <c r="F27">
        <v>1.5566E-2</v>
      </c>
      <c r="G27">
        <f t="shared" si="0"/>
        <v>1.5000000000000083E-4</v>
      </c>
    </row>
    <row r="28" spans="1:7" x14ac:dyDescent="0.35">
      <c r="A28">
        <v>76</v>
      </c>
      <c r="B28">
        <v>2692</v>
      </c>
      <c r="C28">
        <v>0.22</v>
      </c>
      <c r="D28">
        <v>0.63</v>
      </c>
      <c r="E28">
        <v>1.2012E-2</v>
      </c>
      <c r="F28">
        <v>1.1919000000000001E-2</v>
      </c>
      <c r="G28">
        <f t="shared" si="0"/>
        <v>9.2999999999999333E-5</v>
      </c>
    </row>
    <row r="29" spans="1:7" x14ac:dyDescent="0.35">
      <c r="A29">
        <v>78</v>
      </c>
      <c r="B29">
        <v>2529</v>
      </c>
      <c r="C29">
        <v>0.23</v>
      </c>
      <c r="D29">
        <v>0.52</v>
      </c>
      <c r="E29">
        <v>1.4087000000000001E-2</v>
      </c>
      <c r="F29">
        <v>1.4081E-2</v>
      </c>
      <c r="G29">
        <f t="shared" si="0"/>
        <v>6.0000000000007964E-6</v>
      </c>
    </row>
    <row r="30" spans="1:7" x14ac:dyDescent="0.35">
      <c r="A30">
        <v>80</v>
      </c>
      <c r="B30">
        <v>2509</v>
      </c>
      <c r="C30">
        <v>0.18</v>
      </c>
      <c r="D30">
        <v>0.36</v>
      </c>
      <c r="E30">
        <v>1.6839E-2</v>
      </c>
      <c r="F30">
        <v>1.669E-2</v>
      </c>
      <c r="G30">
        <f t="shared" si="0"/>
        <v>1.4899999999999983E-4</v>
      </c>
    </row>
    <row r="31" spans="1:7" x14ac:dyDescent="0.35">
      <c r="A31">
        <v>85</v>
      </c>
      <c r="B31">
        <v>2670</v>
      </c>
      <c r="C31">
        <v>0.24</v>
      </c>
      <c r="D31">
        <v>0.61</v>
      </c>
      <c r="E31">
        <v>1.1769999999999999E-2</v>
      </c>
      <c r="F31">
        <v>1.1098E-2</v>
      </c>
      <c r="G31">
        <f t="shared" si="0"/>
        <v>6.7199999999999899E-4</v>
      </c>
    </row>
    <row r="32" spans="1:7" x14ac:dyDescent="0.35">
      <c r="A32">
        <v>90</v>
      </c>
      <c r="B32">
        <v>2646</v>
      </c>
      <c r="C32">
        <v>0.28000000000000003</v>
      </c>
      <c r="D32">
        <v>0.46</v>
      </c>
      <c r="E32">
        <v>1.6378E-2</v>
      </c>
      <c r="F32">
        <v>1.6357E-2</v>
      </c>
      <c r="G32">
        <f t="shared" si="0"/>
        <v>2.1000000000000185E-5</v>
      </c>
    </row>
    <row r="33" spans="1:7" x14ac:dyDescent="0.35">
      <c r="A33">
        <v>91</v>
      </c>
      <c r="B33">
        <v>2686</v>
      </c>
      <c r="C33">
        <v>0.26</v>
      </c>
      <c r="D33">
        <v>0.6</v>
      </c>
      <c r="E33">
        <v>1.2449E-2</v>
      </c>
      <c r="F33">
        <v>1.2185E-2</v>
      </c>
      <c r="G33">
        <f t="shared" si="0"/>
        <v>2.6400000000000035E-4</v>
      </c>
    </row>
    <row r="34" spans="1:7" x14ac:dyDescent="0.35">
      <c r="A34">
        <v>93</v>
      </c>
      <c r="B34">
        <v>2612</v>
      </c>
      <c r="C34">
        <v>0.22</v>
      </c>
      <c r="D34">
        <v>0.42</v>
      </c>
      <c r="E34">
        <v>1.5519E-2</v>
      </c>
      <c r="F34">
        <v>1.5514E-2</v>
      </c>
      <c r="G34">
        <f t="shared" si="0"/>
        <v>4.9999999999997963E-6</v>
      </c>
    </row>
    <row r="35" spans="1:7" x14ac:dyDescent="0.35">
      <c r="A35">
        <v>96</v>
      </c>
      <c r="B35">
        <v>2383</v>
      </c>
      <c r="C35">
        <v>0.14000000000000001</v>
      </c>
      <c r="D35">
        <v>0.31</v>
      </c>
      <c r="E35">
        <v>1.4522E-2</v>
      </c>
      <c r="F35">
        <v>1.4487999999999999E-2</v>
      </c>
      <c r="G35">
        <f t="shared" si="0"/>
        <v>3.4000000000001043E-5</v>
      </c>
    </row>
    <row r="36" spans="1:7" x14ac:dyDescent="0.35">
      <c r="A36">
        <v>98</v>
      </c>
      <c r="B36">
        <v>2732</v>
      </c>
      <c r="C36">
        <v>0.24</v>
      </c>
      <c r="D36">
        <v>0.61</v>
      </c>
      <c r="E36">
        <v>1.1675E-2</v>
      </c>
      <c r="F36">
        <v>1.0937000000000001E-2</v>
      </c>
      <c r="G36">
        <f t="shared" si="0"/>
        <v>7.3799999999999907E-4</v>
      </c>
    </row>
    <row r="37" spans="1:7" x14ac:dyDescent="0.35">
      <c r="A37">
        <v>102</v>
      </c>
      <c r="B37">
        <v>2617</v>
      </c>
      <c r="C37">
        <v>0.27</v>
      </c>
      <c r="D37">
        <v>0.6</v>
      </c>
      <c r="E37">
        <v>1.2298999999999999E-2</v>
      </c>
      <c r="F37">
        <v>1.1616E-2</v>
      </c>
      <c r="G37">
        <f t="shared" si="0"/>
        <v>6.8299999999999958E-4</v>
      </c>
    </row>
    <row r="38" spans="1:7" x14ac:dyDescent="0.35">
      <c r="A38">
        <v>106</v>
      </c>
      <c r="B38">
        <v>2434</v>
      </c>
      <c r="C38">
        <v>0.23</v>
      </c>
      <c r="D38">
        <v>0.56000000000000005</v>
      </c>
      <c r="E38">
        <v>1.2272E-2</v>
      </c>
      <c r="F38">
        <v>1.1915E-2</v>
      </c>
      <c r="G38">
        <f t="shared" si="0"/>
        <v>3.5699999999999968E-4</v>
      </c>
    </row>
    <row r="39" spans="1:7" x14ac:dyDescent="0.35">
      <c r="A39">
        <v>109</v>
      </c>
      <c r="B39">
        <v>2663</v>
      </c>
      <c r="C39">
        <v>0.17</v>
      </c>
      <c r="D39">
        <v>0.44</v>
      </c>
      <c r="E39">
        <v>1.5736E-2</v>
      </c>
      <c r="F39">
        <v>1.5705E-2</v>
      </c>
      <c r="G39">
        <f t="shared" si="0"/>
        <v>3.0999999999999778E-5</v>
      </c>
    </row>
    <row r="40" spans="1:7" x14ac:dyDescent="0.35">
      <c r="A40">
        <v>114</v>
      </c>
      <c r="B40">
        <v>2602</v>
      </c>
      <c r="C40">
        <v>0.21</v>
      </c>
      <c r="D40">
        <v>0.38</v>
      </c>
      <c r="E40">
        <v>1.4009000000000001E-2</v>
      </c>
      <c r="F40">
        <v>1.3875999999999999E-2</v>
      </c>
      <c r="G40">
        <f t="shared" si="0"/>
        <v>1.3300000000000117E-4</v>
      </c>
    </row>
    <row r="41" spans="1:7" x14ac:dyDescent="0.35">
      <c r="A41">
        <v>119</v>
      </c>
      <c r="B41">
        <v>2624</v>
      </c>
      <c r="C41">
        <v>0.23</v>
      </c>
      <c r="D41">
        <v>0.41</v>
      </c>
      <c r="E41">
        <v>1.5932999999999999E-2</v>
      </c>
      <c r="F41">
        <v>1.5837E-2</v>
      </c>
      <c r="G41">
        <f t="shared" si="0"/>
        <v>9.5999999999998864E-5</v>
      </c>
    </row>
    <row r="42" spans="1:7" x14ac:dyDescent="0.35">
      <c r="A42">
        <v>129</v>
      </c>
      <c r="B42">
        <v>2704</v>
      </c>
      <c r="C42">
        <v>0.15</v>
      </c>
      <c r="D42">
        <v>0.33</v>
      </c>
      <c r="E42">
        <v>9.2980000000000007E-3</v>
      </c>
      <c r="F42">
        <v>9.2320000000000006E-3</v>
      </c>
      <c r="G42">
        <f t="shared" si="0"/>
        <v>6.6000000000000086E-5</v>
      </c>
    </row>
    <row r="43" spans="1:7" x14ac:dyDescent="0.35">
      <c r="A43">
        <v>130</v>
      </c>
      <c r="B43">
        <v>2736</v>
      </c>
      <c r="C43">
        <v>0.25</v>
      </c>
      <c r="D43">
        <v>0.38</v>
      </c>
      <c r="E43">
        <v>1.3022000000000001E-2</v>
      </c>
      <c r="F43">
        <v>1.2966999999999999E-2</v>
      </c>
      <c r="G43">
        <f t="shared" si="0"/>
        <v>5.5000000000001228E-5</v>
      </c>
    </row>
    <row r="44" spans="1:7" x14ac:dyDescent="0.35">
      <c r="A44">
        <v>131</v>
      </c>
      <c r="B44">
        <v>2734</v>
      </c>
      <c r="C44">
        <v>0.2</v>
      </c>
      <c r="D44">
        <v>0.43</v>
      </c>
      <c r="E44">
        <v>1.2541999999999999E-2</v>
      </c>
      <c r="F44">
        <v>1.2541999999999999E-2</v>
      </c>
      <c r="G44">
        <f t="shared" si="0"/>
        <v>0</v>
      </c>
    </row>
    <row r="45" spans="1:7" x14ac:dyDescent="0.35">
      <c r="A45">
        <v>132</v>
      </c>
      <c r="B45">
        <v>2701</v>
      </c>
      <c r="C45">
        <v>0.24</v>
      </c>
      <c r="D45">
        <v>0.6</v>
      </c>
      <c r="E45">
        <v>1.2827E-2</v>
      </c>
      <c r="F45">
        <v>1.2760000000000001E-2</v>
      </c>
      <c r="G45">
        <f t="shared" si="0"/>
        <v>6.6999999999999352E-5</v>
      </c>
    </row>
    <row r="46" spans="1:7" x14ac:dyDescent="0.35">
      <c r="A46">
        <v>133</v>
      </c>
      <c r="B46">
        <v>2725</v>
      </c>
      <c r="C46">
        <v>0.26</v>
      </c>
      <c r="D46">
        <v>0.42</v>
      </c>
      <c r="E46">
        <v>1.2364999999999999E-2</v>
      </c>
      <c r="F46">
        <v>1.2219000000000001E-2</v>
      </c>
      <c r="G46">
        <f t="shared" si="0"/>
        <v>1.4599999999999856E-4</v>
      </c>
    </row>
    <row r="47" spans="1:7" x14ac:dyDescent="0.35">
      <c r="A47">
        <v>136</v>
      </c>
      <c r="B47">
        <v>2741</v>
      </c>
      <c r="C47">
        <v>0.19</v>
      </c>
      <c r="D47">
        <v>0.51</v>
      </c>
      <c r="E47">
        <v>7.9950000000000004E-3</v>
      </c>
      <c r="F47">
        <v>7.9869999999999993E-3</v>
      </c>
      <c r="G47">
        <f t="shared" si="0"/>
        <v>8.0000000000010618E-6</v>
      </c>
    </row>
    <row r="48" spans="1:7" x14ac:dyDescent="0.35">
      <c r="A48">
        <v>137</v>
      </c>
      <c r="B48">
        <v>2673</v>
      </c>
      <c r="C48">
        <v>0.31</v>
      </c>
      <c r="D48">
        <v>0.59</v>
      </c>
      <c r="E48">
        <v>9.6640000000000007E-3</v>
      </c>
      <c r="F48">
        <v>9.4500000000000001E-3</v>
      </c>
      <c r="G48">
        <f t="shared" si="0"/>
        <v>2.1400000000000065E-4</v>
      </c>
    </row>
    <row r="49" spans="1:7" x14ac:dyDescent="0.35">
      <c r="A49">
        <v>139</v>
      </c>
      <c r="B49">
        <v>2739</v>
      </c>
      <c r="C49">
        <v>0.2374</v>
      </c>
      <c r="D49">
        <v>0.6</v>
      </c>
      <c r="E49">
        <v>9.6860000000000002E-3</v>
      </c>
      <c r="F49">
        <v>9.6860000000000002E-3</v>
      </c>
      <c r="G49">
        <f t="shared" si="0"/>
        <v>0</v>
      </c>
    </row>
    <row r="50" spans="1:7" x14ac:dyDescent="0.35">
      <c r="A50">
        <v>141</v>
      </c>
      <c r="B50">
        <v>2607</v>
      </c>
      <c r="C50">
        <v>0.34</v>
      </c>
      <c r="D50">
        <v>0.53</v>
      </c>
      <c r="E50">
        <v>1.5542E-2</v>
      </c>
      <c r="F50">
        <v>1.549E-2</v>
      </c>
      <c r="G50">
        <f t="shared" si="0"/>
        <v>5.1999999999999963E-5</v>
      </c>
    </row>
    <row r="51" spans="1:7" x14ac:dyDescent="0.35">
      <c r="A51">
        <v>144</v>
      </c>
      <c r="B51">
        <v>2715</v>
      </c>
      <c r="C51">
        <v>0.28999999999999998</v>
      </c>
      <c r="D51">
        <v>0.45</v>
      </c>
      <c r="E51">
        <v>1.3218000000000001E-2</v>
      </c>
      <c r="F51">
        <v>1.3218000000000001E-2</v>
      </c>
      <c r="G51">
        <f t="shared" si="0"/>
        <v>0</v>
      </c>
    </row>
    <row r="52" spans="1:7" x14ac:dyDescent="0.35">
      <c r="A52">
        <v>145</v>
      </c>
      <c r="B52">
        <v>2722</v>
      </c>
      <c r="C52">
        <v>0.19</v>
      </c>
      <c r="D52">
        <v>0.5</v>
      </c>
      <c r="E52">
        <v>1.4312999999999999E-2</v>
      </c>
      <c r="F52">
        <v>1.4312999999999999E-2</v>
      </c>
      <c r="G52">
        <f t="shared" si="0"/>
        <v>0</v>
      </c>
    </row>
    <row r="53" spans="1:7" x14ac:dyDescent="0.35">
      <c r="A53">
        <v>149</v>
      </c>
      <c r="B53">
        <v>2737</v>
      </c>
      <c r="C53">
        <v>0.21</v>
      </c>
      <c r="D53">
        <v>0.41</v>
      </c>
      <c r="E53">
        <v>1.3398999999999999E-2</v>
      </c>
      <c r="F53">
        <v>1.3324000000000001E-2</v>
      </c>
      <c r="G53">
        <f t="shared" si="0"/>
        <v>7.4999999999998679E-5</v>
      </c>
    </row>
    <row r="54" spans="1:7" x14ac:dyDescent="0.35">
      <c r="A54">
        <v>151</v>
      </c>
      <c r="B54">
        <v>2656</v>
      </c>
      <c r="C54">
        <v>0.32</v>
      </c>
      <c r="D54">
        <v>0.48</v>
      </c>
      <c r="E54">
        <v>1.4811E-2</v>
      </c>
      <c r="F54">
        <v>1.4611000000000001E-2</v>
      </c>
      <c r="G54">
        <f t="shared" si="0"/>
        <v>1.9999999999999879E-4</v>
      </c>
    </row>
    <row r="55" spans="1:7" x14ac:dyDescent="0.35">
      <c r="A55">
        <v>152</v>
      </c>
      <c r="B55">
        <v>2722</v>
      </c>
      <c r="C55">
        <v>0.27</v>
      </c>
      <c r="D55">
        <v>0.39</v>
      </c>
      <c r="E55">
        <v>1.15E-2</v>
      </c>
      <c r="F55">
        <v>1.1436E-2</v>
      </c>
      <c r="G55">
        <f t="shared" si="0"/>
        <v>6.3999999999999821E-5</v>
      </c>
    </row>
    <row r="56" spans="1:7" x14ac:dyDescent="0.35">
      <c r="A56">
        <v>154</v>
      </c>
      <c r="B56">
        <v>2671</v>
      </c>
      <c r="C56">
        <v>0.16</v>
      </c>
      <c r="D56">
        <v>0.3</v>
      </c>
      <c r="E56">
        <v>1.3979E-2</v>
      </c>
      <c r="F56">
        <v>1.3934E-2</v>
      </c>
      <c r="G56">
        <f t="shared" si="0"/>
        <v>4.4999999999999901E-5</v>
      </c>
    </row>
    <row r="57" spans="1:7" x14ac:dyDescent="0.35">
      <c r="A57">
        <v>155</v>
      </c>
      <c r="B57">
        <v>2729</v>
      </c>
      <c r="C57">
        <v>0.28999999999999998</v>
      </c>
      <c r="D57">
        <v>0.45</v>
      </c>
      <c r="E57">
        <v>1.5027E-2</v>
      </c>
      <c r="F57">
        <v>1.5027E-2</v>
      </c>
      <c r="G57">
        <f t="shared" si="0"/>
        <v>0</v>
      </c>
    </row>
    <row r="58" spans="1:7" x14ac:dyDescent="0.35">
      <c r="A58">
        <v>157</v>
      </c>
      <c r="B58">
        <v>2669</v>
      </c>
      <c r="C58">
        <v>0.2</v>
      </c>
      <c r="D58">
        <v>0.4</v>
      </c>
      <c r="E58">
        <v>1.5630999999999999E-2</v>
      </c>
      <c r="F58">
        <v>1.5602E-2</v>
      </c>
      <c r="G58">
        <f t="shared" si="0"/>
        <v>2.8999999999999512E-5</v>
      </c>
    </row>
    <row r="59" spans="1:7" x14ac:dyDescent="0.35">
      <c r="A59">
        <v>158</v>
      </c>
      <c r="B59">
        <v>2732</v>
      </c>
      <c r="C59">
        <v>0.28000000000000003</v>
      </c>
      <c r="D59">
        <v>0.38</v>
      </c>
      <c r="E59">
        <v>1.5879999999999998E-2</v>
      </c>
      <c r="F59">
        <v>1.5761000000000001E-2</v>
      </c>
      <c r="G59">
        <f t="shared" si="0"/>
        <v>1.1899999999999758E-4</v>
      </c>
    </row>
    <row r="60" spans="1:7" x14ac:dyDescent="0.35">
      <c r="A60">
        <v>161</v>
      </c>
      <c r="B60">
        <v>2706</v>
      </c>
      <c r="C60">
        <v>0.27</v>
      </c>
      <c r="D60">
        <v>0.6</v>
      </c>
      <c r="E60">
        <v>1.3931000000000001E-2</v>
      </c>
      <c r="F60">
        <v>1.3931000000000001E-2</v>
      </c>
      <c r="G60">
        <f t="shared" si="0"/>
        <v>0</v>
      </c>
    </row>
    <row r="61" spans="1:7" x14ac:dyDescent="0.35">
      <c r="A61">
        <v>166</v>
      </c>
      <c r="B61">
        <v>2657</v>
      </c>
      <c r="C61">
        <v>0.15</v>
      </c>
      <c r="D61">
        <v>0.25</v>
      </c>
      <c r="E61">
        <v>1.4526000000000001E-2</v>
      </c>
      <c r="F61">
        <v>1.4385999999999999E-2</v>
      </c>
      <c r="G61">
        <f t="shared" si="0"/>
        <v>1.4000000000000123E-4</v>
      </c>
    </row>
    <row r="62" spans="1:7" x14ac:dyDescent="0.35">
      <c r="A62">
        <v>167</v>
      </c>
      <c r="B62">
        <v>2513</v>
      </c>
      <c r="C62">
        <v>0.19</v>
      </c>
      <c r="D62">
        <v>0.32</v>
      </c>
      <c r="E62">
        <v>1.2840000000000001E-2</v>
      </c>
      <c r="F62">
        <v>1.272E-2</v>
      </c>
      <c r="G62">
        <f t="shared" si="0"/>
        <v>1.2000000000000031E-4</v>
      </c>
    </row>
    <row r="63" spans="1:7" x14ac:dyDescent="0.35">
      <c r="A63">
        <v>173</v>
      </c>
      <c r="B63">
        <v>2700</v>
      </c>
      <c r="C63">
        <v>0.26</v>
      </c>
      <c r="D63">
        <v>0.4</v>
      </c>
      <c r="E63">
        <v>1.1919000000000001E-2</v>
      </c>
      <c r="F63">
        <v>1.1886000000000001E-2</v>
      </c>
      <c r="G63">
        <f t="shared" si="0"/>
        <v>3.3000000000000043E-5</v>
      </c>
    </row>
    <row r="64" spans="1:7" x14ac:dyDescent="0.35">
      <c r="A64">
        <v>175</v>
      </c>
      <c r="B64">
        <v>2697</v>
      </c>
      <c r="C64">
        <v>0.25</v>
      </c>
      <c r="D64">
        <v>0.45</v>
      </c>
      <c r="E64">
        <v>1.057E-2</v>
      </c>
      <c r="F64">
        <v>1.057E-2</v>
      </c>
      <c r="G64">
        <f t="shared" si="0"/>
        <v>0</v>
      </c>
    </row>
    <row r="65" spans="1:7" x14ac:dyDescent="0.35">
      <c r="A65">
        <v>177</v>
      </c>
      <c r="B65">
        <v>2726</v>
      </c>
      <c r="C65">
        <v>0.22</v>
      </c>
      <c r="D65">
        <v>0.37</v>
      </c>
      <c r="E65">
        <v>1.4631E-2</v>
      </c>
      <c r="F65">
        <v>1.4514000000000001E-2</v>
      </c>
      <c r="G65">
        <f t="shared" si="0"/>
        <v>1.1699999999999905E-4</v>
      </c>
    </row>
    <row r="66" spans="1:7" x14ac:dyDescent="0.35">
      <c r="A66">
        <v>178</v>
      </c>
      <c r="B66">
        <v>2729</v>
      </c>
      <c r="C66">
        <v>0.18</v>
      </c>
      <c r="D66">
        <v>0.31</v>
      </c>
      <c r="E66">
        <v>1.4540000000000001E-2</v>
      </c>
      <c r="F66">
        <v>1.4298999999999999E-2</v>
      </c>
      <c r="G66">
        <f t="shared" ref="G66:G101" si="1">E66-F66</f>
        <v>2.4100000000000163E-4</v>
      </c>
    </row>
    <row r="67" spans="1:7" x14ac:dyDescent="0.35">
      <c r="A67">
        <v>183</v>
      </c>
      <c r="B67">
        <v>2701</v>
      </c>
      <c r="C67">
        <v>0.25</v>
      </c>
      <c r="D67">
        <v>0.6</v>
      </c>
      <c r="E67">
        <v>1.5601E-2</v>
      </c>
      <c r="F67">
        <v>1.5578E-2</v>
      </c>
      <c r="G67">
        <f t="shared" si="1"/>
        <v>2.3000000000000451E-5</v>
      </c>
    </row>
    <row r="68" spans="1:7" x14ac:dyDescent="0.35">
      <c r="A68">
        <v>185</v>
      </c>
      <c r="B68">
        <v>2622</v>
      </c>
      <c r="C68">
        <v>0.27</v>
      </c>
      <c r="D68">
        <v>0.67</v>
      </c>
      <c r="E68">
        <v>1.4338E-2</v>
      </c>
      <c r="F68">
        <v>1.4319999999999999E-2</v>
      </c>
      <c r="G68">
        <f t="shared" si="1"/>
        <v>1.8000000000000654E-5</v>
      </c>
    </row>
    <row r="69" spans="1:7" x14ac:dyDescent="0.35">
      <c r="A69">
        <v>189</v>
      </c>
      <c r="B69">
        <v>2656</v>
      </c>
      <c r="C69">
        <v>0.26</v>
      </c>
      <c r="D69">
        <v>0.41</v>
      </c>
      <c r="E69">
        <v>1.2612E-2</v>
      </c>
      <c r="F69">
        <v>1.2558E-2</v>
      </c>
      <c r="G69">
        <f t="shared" si="1"/>
        <v>5.4000000000000228E-5</v>
      </c>
    </row>
    <row r="70" spans="1:7" x14ac:dyDescent="0.35">
      <c r="A70">
        <v>190</v>
      </c>
      <c r="B70">
        <v>2724</v>
      </c>
      <c r="C70">
        <v>0.23</v>
      </c>
      <c r="D70">
        <v>0.4</v>
      </c>
      <c r="E70">
        <v>1.5532000000000001E-2</v>
      </c>
      <c r="F70">
        <v>1.5495E-2</v>
      </c>
      <c r="G70">
        <f t="shared" si="1"/>
        <v>3.7000000000000574E-5</v>
      </c>
    </row>
    <row r="71" spans="1:7" x14ac:dyDescent="0.35">
      <c r="A71">
        <v>196</v>
      </c>
      <c r="B71">
        <v>2738</v>
      </c>
      <c r="C71">
        <v>0.06</v>
      </c>
      <c r="D71">
        <v>0.33</v>
      </c>
      <c r="E71">
        <v>1.4494999999999999E-2</v>
      </c>
      <c r="F71">
        <v>1.4416E-2</v>
      </c>
      <c r="G71">
        <f t="shared" si="1"/>
        <v>7.899999999999921E-5</v>
      </c>
    </row>
    <row r="72" spans="1:7" x14ac:dyDescent="0.35">
      <c r="A72">
        <v>202</v>
      </c>
      <c r="B72">
        <v>2652</v>
      </c>
      <c r="C72">
        <v>0.19</v>
      </c>
      <c r="D72">
        <v>0.49</v>
      </c>
      <c r="E72">
        <v>1.5403E-2</v>
      </c>
      <c r="F72">
        <v>1.5384E-2</v>
      </c>
      <c r="G72">
        <f t="shared" si="1"/>
        <v>1.899999999999992E-5</v>
      </c>
    </row>
    <row r="73" spans="1:7" x14ac:dyDescent="0.35">
      <c r="A73">
        <v>206</v>
      </c>
      <c r="B73">
        <v>2628</v>
      </c>
      <c r="C73">
        <v>0.25</v>
      </c>
      <c r="D73">
        <v>0.42</v>
      </c>
      <c r="E73">
        <v>1.5970999999999999E-2</v>
      </c>
      <c r="F73">
        <v>1.5934E-2</v>
      </c>
      <c r="G73">
        <f t="shared" si="1"/>
        <v>3.6999999999998839E-5</v>
      </c>
    </row>
    <row r="74" spans="1:7" x14ac:dyDescent="0.35">
      <c r="A74">
        <v>207</v>
      </c>
      <c r="B74">
        <v>2684</v>
      </c>
      <c r="C74">
        <v>0</v>
      </c>
      <c r="D74">
        <v>0.42</v>
      </c>
      <c r="E74">
        <v>1.5324000000000001E-2</v>
      </c>
      <c r="F74">
        <v>1.5299999999999999E-2</v>
      </c>
      <c r="G74">
        <f t="shared" si="1"/>
        <v>2.4000000000001451E-5</v>
      </c>
    </row>
    <row r="75" spans="1:7" x14ac:dyDescent="0.35">
      <c r="A75">
        <v>209</v>
      </c>
      <c r="B75">
        <v>2718</v>
      </c>
      <c r="C75">
        <v>0.32</v>
      </c>
      <c r="D75">
        <v>0.6</v>
      </c>
      <c r="E75">
        <v>8.7519999999999994E-3</v>
      </c>
      <c r="F75">
        <v>8.5299999999999994E-3</v>
      </c>
      <c r="G75">
        <f t="shared" si="1"/>
        <v>2.2199999999999998E-4</v>
      </c>
    </row>
    <row r="76" spans="1:7" x14ac:dyDescent="0.35">
      <c r="A76">
        <v>214</v>
      </c>
      <c r="B76">
        <v>2723</v>
      </c>
      <c r="C76">
        <v>0.21</v>
      </c>
      <c r="D76">
        <v>0.37</v>
      </c>
      <c r="E76">
        <v>1.3741E-2</v>
      </c>
      <c r="F76">
        <v>1.3712E-2</v>
      </c>
      <c r="G76">
        <f t="shared" si="1"/>
        <v>2.8999999999999512E-5</v>
      </c>
    </row>
    <row r="77" spans="1:7" x14ac:dyDescent="0.35">
      <c r="A77">
        <v>217</v>
      </c>
      <c r="B77">
        <v>2718</v>
      </c>
      <c r="C77">
        <v>0.21</v>
      </c>
      <c r="D77">
        <v>0.6</v>
      </c>
      <c r="E77">
        <v>1.2435E-2</v>
      </c>
      <c r="F77">
        <v>1.2277E-2</v>
      </c>
      <c r="G77">
        <f t="shared" si="1"/>
        <v>1.5800000000000015E-4</v>
      </c>
    </row>
    <row r="78" spans="1:7" x14ac:dyDescent="0.35">
      <c r="A78">
        <v>218</v>
      </c>
      <c r="B78">
        <v>2718</v>
      </c>
      <c r="C78">
        <v>0.21</v>
      </c>
      <c r="D78">
        <v>0.36</v>
      </c>
      <c r="E78">
        <v>1.5970000000000002E-2</v>
      </c>
      <c r="F78">
        <v>1.5904000000000001E-2</v>
      </c>
      <c r="G78">
        <f t="shared" si="1"/>
        <v>6.6000000000000086E-5</v>
      </c>
    </row>
    <row r="79" spans="1:7" x14ac:dyDescent="0.35">
      <c r="A79">
        <v>225</v>
      </c>
      <c r="B79">
        <v>2739</v>
      </c>
      <c r="C79">
        <v>0.25</v>
      </c>
      <c r="D79">
        <v>0.41</v>
      </c>
      <c r="E79">
        <v>1.8421E-2</v>
      </c>
      <c r="F79">
        <v>1.8291999999999999E-2</v>
      </c>
      <c r="G79">
        <f t="shared" si="1"/>
        <v>1.2900000000000064E-4</v>
      </c>
    </row>
    <row r="80" spans="1:7" x14ac:dyDescent="0.35">
      <c r="A80">
        <v>228</v>
      </c>
      <c r="B80">
        <v>2713</v>
      </c>
      <c r="C80">
        <v>0.18</v>
      </c>
      <c r="D80">
        <v>0.45</v>
      </c>
      <c r="E80">
        <v>1.2442999999999999E-2</v>
      </c>
      <c r="F80">
        <v>1.2442999999999999E-2</v>
      </c>
      <c r="G80">
        <f t="shared" si="1"/>
        <v>0</v>
      </c>
    </row>
    <row r="81" spans="1:7" x14ac:dyDescent="0.35">
      <c r="A81">
        <v>231</v>
      </c>
      <c r="B81">
        <v>2732</v>
      </c>
      <c r="C81">
        <v>0.31</v>
      </c>
      <c r="D81">
        <v>0.62</v>
      </c>
      <c r="E81">
        <v>8.9630000000000005E-3</v>
      </c>
      <c r="F81">
        <v>8.9210000000000001E-3</v>
      </c>
      <c r="G81">
        <f t="shared" si="1"/>
        <v>4.200000000000037E-5</v>
      </c>
    </row>
    <row r="82" spans="1:7" x14ac:dyDescent="0.35">
      <c r="A82">
        <v>234</v>
      </c>
      <c r="B82">
        <v>2514</v>
      </c>
      <c r="C82">
        <v>0.27</v>
      </c>
      <c r="D82">
        <v>0.44</v>
      </c>
      <c r="E82">
        <v>1.5841999999999998E-2</v>
      </c>
      <c r="F82">
        <v>1.5834000000000001E-2</v>
      </c>
      <c r="G82">
        <f t="shared" si="1"/>
        <v>7.9999999999975924E-6</v>
      </c>
    </row>
    <row r="83" spans="1:7" x14ac:dyDescent="0.35">
      <c r="A83">
        <v>239</v>
      </c>
      <c r="B83">
        <v>2656</v>
      </c>
      <c r="C83">
        <v>0.31</v>
      </c>
      <c r="D83">
        <v>0.42</v>
      </c>
      <c r="E83">
        <v>1.225E-2</v>
      </c>
      <c r="F83">
        <v>1.222E-2</v>
      </c>
      <c r="G83">
        <f t="shared" si="1"/>
        <v>3.0000000000000512E-5</v>
      </c>
    </row>
    <row r="84" spans="1:7" x14ac:dyDescent="0.35">
      <c r="A84">
        <v>241</v>
      </c>
      <c r="B84">
        <v>2452</v>
      </c>
      <c r="C84">
        <v>0.31</v>
      </c>
      <c r="D84">
        <v>0.47</v>
      </c>
      <c r="E84">
        <v>1.3813000000000001E-2</v>
      </c>
      <c r="F84">
        <v>1.3805E-2</v>
      </c>
      <c r="G84">
        <f t="shared" si="1"/>
        <v>8.0000000000010618E-6</v>
      </c>
    </row>
    <row r="85" spans="1:7" x14ac:dyDescent="0.35">
      <c r="A85">
        <v>244</v>
      </c>
      <c r="B85">
        <v>2726</v>
      </c>
      <c r="C85">
        <v>0.19</v>
      </c>
      <c r="D85">
        <v>0.56000000000000005</v>
      </c>
      <c r="E85">
        <v>1.3386E-2</v>
      </c>
      <c r="F85">
        <v>1.3375E-2</v>
      </c>
      <c r="G85">
        <f t="shared" si="1"/>
        <v>1.1000000000000593E-5</v>
      </c>
    </row>
    <row r="86" spans="1:7" x14ac:dyDescent="0.35">
      <c r="A86">
        <v>246</v>
      </c>
      <c r="B86">
        <v>2677</v>
      </c>
      <c r="C86">
        <v>0.25</v>
      </c>
      <c r="D86">
        <v>0.39</v>
      </c>
      <c r="E86">
        <v>1.4760000000000001E-2</v>
      </c>
      <c r="F86">
        <v>1.4642000000000001E-2</v>
      </c>
      <c r="G86">
        <f t="shared" si="1"/>
        <v>1.1800000000000005E-4</v>
      </c>
    </row>
    <row r="87" spans="1:7" x14ac:dyDescent="0.35">
      <c r="A87">
        <v>249</v>
      </c>
      <c r="B87">
        <v>2667</v>
      </c>
      <c r="C87">
        <v>0.15</v>
      </c>
      <c r="D87">
        <v>0.34</v>
      </c>
      <c r="E87">
        <v>1.4423999999999999E-2</v>
      </c>
      <c r="F87">
        <v>1.4375000000000001E-2</v>
      </c>
      <c r="G87">
        <f t="shared" si="1"/>
        <v>4.8999999999998697E-5</v>
      </c>
    </row>
    <row r="88" spans="1:7" x14ac:dyDescent="0.35">
      <c r="A88">
        <v>251</v>
      </c>
      <c r="B88">
        <v>2734</v>
      </c>
      <c r="C88">
        <v>0.27</v>
      </c>
      <c r="D88">
        <v>0.66</v>
      </c>
      <c r="E88">
        <v>1.1609E-2</v>
      </c>
      <c r="F88">
        <v>1.1471E-2</v>
      </c>
      <c r="G88">
        <f t="shared" si="1"/>
        <v>1.3799999999999923E-4</v>
      </c>
    </row>
    <row r="89" spans="1:7" x14ac:dyDescent="0.35">
      <c r="A89">
        <v>257</v>
      </c>
      <c r="B89">
        <v>2680</v>
      </c>
      <c r="C89">
        <v>0.12</v>
      </c>
      <c r="D89">
        <v>0.49</v>
      </c>
      <c r="E89">
        <v>1.4437E-2</v>
      </c>
      <c r="F89">
        <v>1.4389000000000001E-2</v>
      </c>
      <c r="G89">
        <f t="shared" si="1"/>
        <v>4.7999999999999432E-5</v>
      </c>
    </row>
    <row r="90" spans="1:7" x14ac:dyDescent="0.35">
      <c r="A90">
        <v>258</v>
      </c>
      <c r="B90">
        <v>2633</v>
      </c>
      <c r="C90">
        <v>0.2</v>
      </c>
      <c r="D90">
        <v>0.47</v>
      </c>
      <c r="E90">
        <v>1.5466000000000001E-2</v>
      </c>
      <c r="F90">
        <v>1.5448999999999999E-2</v>
      </c>
      <c r="G90">
        <f t="shared" si="1"/>
        <v>1.7000000000001389E-5</v>
      </c>
    </row>
    <row r="91" spans="1:7" x14ac:dyDescent="0.35">
      <c r="A91">
        <v>269</v>
      </c>
      <c r="B91">
        <v>2680</v>
      </c>
      <c r="C91">
        <v>0.27</v>
      </c>
      <c r="D91">
        <v>0.42</v>
      </c>
      <c r="E91">
        <v>1.0300999999999999E-2</v>
      </c>
      <c r="F91">
        <v>1.0293999999999999E-2</v>
      </c>
      <c r="G91">
        <f t="shared" si="1"/>
        <v>7.0000000000000617E-6</v>
      </c>
    </row>
    <row r="92" spans="1:7" x14ac:dyDescent="0.35">
      <c r="A92">
        <v>272</v>
      </c>
      <c r="B92">
        <v>2727</v>
      </c>
      <c r="C92">
        <v>0.28999999999999998</v>
      </c>
      <c r="D92">
        <v>0.61</v>
      </c>
      <c r="E92">
        <v>1.0697E-2</v>
      </c>
      <c r="F92">
        <v>9.7129999999999994E-3</v>
      </c>
      <c r="G92">
        <f t="shared" si="1"/>
        <v>9.840000000000005E-4</v>
      </c>
    </row>
    <row r="93" spans="1:7" x14ac:dyDescent="0.35">
      <c r="A93">
        <v>274</v>
      </c>
      <c r="B93">
        <v>2733</v>
      </c>
      <c r="C93">
        <v>0.27</v>
      </c>
      <c r="D93">
        <v>0.6</v>
      </c>
      <c r="E93">
        <v>1.5353E-2</v>
      </c>
      <c r="F93">
        <v>1.5122999999999999E-2</v>
      </c>
      <c r="G93">
        <f t="shared" si="1"/>
        <v>2.3000000000000104E-4</v>
      </c>
    </row>
    <row r="94" spans="1:7" x14ac:dyDescent="0.35">
      <c r="A94">
        <v>278</v>
      </c>
      <c r="B94">
        <v>2707</v>
      </c>
      <c r="C94">
        <v>0.3</v>
      </c>
      <c r="D94">
        <v>0.43</v>
      </c>
      <c r="E94">
        <v>1.3497E-2</v>
      </c>
      <c r="F94">
        <v>1.3436E-2</v>
      </c>
      <c r="G94">
        <f t="shared" si="1"/>
        <v>6.100000000000029E-5</v>
      </c>
    </row>
    <row r="95" spans="1:7" x14ac:dyDescent="0.35">
      <c r="A95">
        <v>279</v>
      </c>
      <c r="B95">
        <v>2706</v>
      </c>
      <c r="C95">
        <v>0.2</v>
      </c>
      <c r="D95">
        <v>0.6</v>
      </c>
      <c r="E95">
        <v>1.3646E-2</v>
      </c>
      <c r="F95">
        <v>1.3632999999999999E-2</v>
      </c>
      <c r="G95">
        <f t="shared" si="1"/>
        <v>1.3000000000000858E-5</v>
      </c>
    </row>
    <row r="96" spans="1:7" x14ac:dyDescent="0.35">
      <c r="A96">
        <v>282</v>
      </c>
      <c r="B96">
        <v>2650</v>
      </c>
      <c r="C96">
        <v>0.23</v>
      </c>
      <c r="D96">
        <v>0.52</v>
      </c>
      <c r="E96">
        <v>1.3549E-2</v>
      </c>
      <c r="F96">
        <v>1.3507999999999999E-2</v>
      </c>
      <c r="G96">
        <f t="shared" si="1"/>
        <v>4.1000000000001105E-5</v>
      </c>
    </row>
    <row r="97" spans="1:7" x14ac:dyDescent="0.35">
      <c r="A97">
        <v>284</v>
      </c>
      <c r="B97">
        <v>2669</v>
      </c>
      <c r="C97">
        <v>0.21</v>
      </c>
      <c r="D97">
        <v>0.42</v>
      </c>
      <c r="E97">
        <v>1.3923E-2</v>
      </c>
      <c r="F97">
        <v>1.3898000000000001E-2</v>
      </c>
      <c r="G97">
        <f t="shared" si="1"/>
        <v>2.4999999999998981E-5</v>
      </c>
    </row>
    <row r="98" spans="1:7" x14ac:dyDescent="0.35">
      <c r="A98">
        <v>289</v>
      </c>
      <c r="B98">
        <v>2711</v>
      </c>
      <c r="C98">
        <v>0.27</v>
      </c>
      <c r="D98">
        <v>0.44</v>
      </c>
      <c r="E98">
        <v>1.2298999999999999E-2</v>
      </c>
      <c r="F98">
        <v>1.2284E-2</v>
      </c>
      <c r="G98">
        <f t="shared" si="1"/>
        <v>1.4999999999999389E-5</v>
      </c>
    </row>
    <row r="99" spans="1:7" x14ac:dyDescent="0.35">
      <c r="A99">
        <v>290</v>
      </c>
      <c r="B99">
        <v>2655</v>
      </c>
      <c r="C99">
        <v>0.24</v>
      </c>
      <c r="D99">
        <v>0.6</v>
      </c>
      <c r="E99">
        <v>1.2097E-2</v>
      </c>
      <c r="F99">
        <v>1.2097E-2</v>
      </c>
      <c r="G99">
        <f t="shared" si="1"/>
        <v>0</v>
      </c>
    </row>
    <row r="100" spans="1:7" x14ac:dyDescent="0.35">
      <c r="A100">
        <v>291</v>
      </c>
      <c r="B100">
        <v>2741</v>
      </c>
      <c r="C100">
        <v>0.21</v>
      </c>
      <c r="D100">
        <v>0.25</v>
      </c>
      <c r="E100">
        <v>1.4683999999999999E-2</v>
      </c>
      <c r="F100">
        <v>1.4387E-2</v>
      </c>
      <c r="G100">
        <f t="shared" si="1"/>
        <v>2.9699999999999865E-4</v>
      </c>
    </row>
    <row r="101" spans="1:7" x14ac:dyDescent="0.35">
      <c r="A101">
        <v>292</v>
      </c>
      <c r="B101">
        <v>2710</v>
      </c>
      <c r="C101">
        <v>0.15</v>
      </c>
      <c r="D101">
        <v>0.17</v>
      </c>
      <c r="E101">
        <v>1.5002E-2</v>
      </c>
      <c r="F101">
        <v>1.4917E-2</v>
      </c>
      <c r="G101">
        <f t="shared" si="1"/>
        <v>8.5000000000000006E-5</v>
      </c>
    </row>
  </sheetData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72EDD6F-2953-4309-AEBF-45A678B74D80}">
  <dimension ref="A1:N13"/>
  <sheetViews>
    <sheetView tabSelected="1" workbookViewId="0">
      <selection activeCell="J18" sqref="J18"/>
    </sheetView>
  </sheetViews>
  <sheetFormatPr defaultRowHeight="14.5" x14ac:dyDescent="0.35"/>
  <cols>
    <col min="1" max="6" width="14.26953125" bestFit="1" customWidth="1"/>
    <col min="7" max="7" width="14.26953125" customWidth="1"/>
    <col min="9" max="9" width="14.26953125" bestFit="1" customWidth="1"/>
    <col min="10" max="10" width="15.54296875" bestFit="1" customWidth="1"/>
    <col min="11" max="11" width="14.54296875" bestFit="1" customWidth="1"/>
    <col min="13" max="13" width="9.08984375" bestFit="1" customWidth="1"/>
    <col min="14" max="14" width="20.81640625" bestFit="1" customWidth="1"/>
  </cols>
  <sheetData>
    <row r="1" spans="1:14" x14ac:dyDescent="0.35">
      <c r="A1" t="s">
        <v>9</v>
      </c>
      <c r="B1" t="s">
        <v>4</v>
      </c>
      <c r="C1" t="s">
        <v>5</v>
      </c>
      <c r="D1" t="s">
        <v>6</v>
      </c>
      <c r="E1" t="s">
        <v>7</v>
      </c>
      <c r="F1" t="s">
        <v>8</v>
      </c>
      <c r="G1" t="s">
        <v>24</v>
      </c>
      <c r="I1" t="s">
        <v>28</v>
      </c>
      <c r="J1" t="s">
        <v>29</v>
      </c>
      <c r="K1" t="s">
        <v>5</v>
      </c>
      <c r="M1" t="s">
        <v>9</v>
      </c>
      <c r="N1" t="s">
        <v>31</v>
      </c>
    </row>
    <row r="2" spans="1:14" x14ac:dyDescent="0.35">
      <c r="A2" t="s">
        <v>12</v>
      </c>
      <c r="B2" t="s">
        <v>11</v>
      </c>
      <c r="C2">
        <v>0.69640000000000002</v>
      </c>
      <c r="D2" t="s">
        <v>12</v>
      </c>
      <c r="E2">
        <v>0</v>
      </c>
      <c r="F2">
        <v>0</v>
      </c>
      <c r="G2">
        <v>0</v>
      </c>
      <c r="I2" t="s">
        <v>8</v>
      </c>
      <c r="J2">
        <v>0.6</v>
      </c>
      <c r="K2">
        <v>1.3676816980865199E-2</v>
      </c>
      <c r="M2" s="1">
        <v>45855</v>
      </c>
      <c r="N2" t="s">
        <v>30</v>
      </c>
    </row>
    <row r="3" spans="1:14" x14ac:dyDescent="0.35">
      <c r="A3" s="1">
        <v>45853</v>
      </c>
      <c r="B3" t="s">
        <v>3</v>
      </c>
      <c r="C3">
        <v>0.72452311636617905</v>
      </c>
      <c r="D3">
        <v>1</v>
      </c>
      <c r="E3">
        <v>0.25</v>
      </c>
      <c r="F3">
        <v>0.35</v>
      </c>
      <c r="G3">
        <v>0</v>
      </c>
      <c r="I3" t="s">
        <v>7</v>
      </c>
      <c r="J3">
        <v>0.2374</v>
      </c>
      <c r="K3">
        <v>1.3716598045655301E-2</v>
      </c>
    </row>
    <row r="4" spans="1:14" x14ac:dyDescent="0.35">
      <c r="A4" s="1">
        <v>45853</v>
      </c>
      <c r="B4" t="s">
        <v>10</v>
      </c>
      <c r="C4">
        <v>0.715394289181433</v>
      </c>
      <c r="D4">
        <v>1</v>
      </c>
      <c r="E4">
        <v>0.25</v>
      </c>
      <c r="F4">
        <v>0.3</v>
      </c>
      <c r="G4">
        <v>0</v>
      </c>
    </row>
    <row r="5" spans="1:14" x14ac:dyDescent="0.35">
      <c r="A5" s="1">
        <v>45854</v>
      </c>
      <c r="B5" t="s">
        <v>13</v>
      </c>
      <c r="C5">
        <v>0.72718921295442596</v>
      </c>
      <c r="D5">
        <v>1</v>
      </c>
      <c r="E5">
        <v>0.25</v>
      </c>
      <c r="F5">
        <v>0.38</v>
      </c>
      <c r="G5">
        <v>0</v>
      </c>
    </row>
    <row r="6" spans="1:14" x14ac:dyDescent="0.35">
      <c r="A6" s="1">
        <v>45854</v>
      </c>
      <c r="B6" t="s">
        <v>14</v>
      </c>
      <c r="C6">
        <v>0.72985020945485801</v>
      </c>
      <c r="D6">
        <v>1</v>
      </c>
      <c r="E6">
        <v>0.25</v>
      </c>
      <c r="F6">
        <v>0.45</v>
      </c>
      <c r="G6">
        <v>0</v>
      </c>
    </row>
    <row r="7" spans="1:14" x14ac:dyDescent="0.35">
      <c r="A7" s="1">
        <v>45855</v>
      </c>
      <c r="B7" t="s">
        <v>15</v>
      </c>
      <c r="C7">
        <v>0.73408559239930804</v>
      </c>
      <c r="D7">
        <v>1</v>
      </c>
      <c r="E7">
        <v>0.23499999999999999</v>
      </c>
      <c r="F7">
        <v>0.53</v>
      </c>
      <c r="G7">
        <v>0</v>
      </c>
    </row>
    <row r="8" spans="1:14" x14ac:dyDescent="0.35">
      <c r="A8" s="1">
        <v>45855</v>
      </c>
      <c r="B8" t="s">
        <v>16</v>
      </c>
      <c r="C8">
        <v>0.73487228860545595</v>
      </c>
      <c r="D8">
        <v>1</v>
      </c>
      <c r="E8">
        <v>0.2374</v>
      </c>
      <c r="F8">
        <v>0.6</v>
      </c>
      <c r="G8">
        <v>0</v>
      </c>
    </row>
    <row r="9" spans="1:14" x14ac:dyDescent="0.35">
      <c r="A9" s="1">
        <v>45857</v>
      </c>
      <c r="B9" t="s">
        <v>19</v>
      </c>
      <c r="C9">
        <v>0.73209665271058399</v>
      </c>
      <c r="D9">
        <v>1</v>
      </c>
      <c r="E9">
        <v>0.15</v>
      </c>
      <c r="F9">
        <v>0.5</v>
      </c>
      <c r="G9">
        <v>0</v>
      </c>
    </row>
    <row r="10" spans="1:14" x14ac:dyDescent="0.35">
      <c r="A10" s="1">
        <v>45857</v>
      </c>
      <c r="B10" t="s">
        <v>20</v>
      </c>
      <c r="C10">
        <v>0.73449976867047995</v>
      </c>
      <c r="D10">
        <v>1</v>
      </c>
      <c r="E10">
        <v>0.2374</v>
      </c>
      <c r="F10">
        <v>0.8</v>
      </c>
      <c r="G10">
        <v>0</v>
      </c>
    </row>
    <row r="11" spans="1:14" x14ac:dyDescent="0.35">
      <c r="A11" s="1">
        <v>45858</v>
      </c>
      <c r="B11" s="3" t="s">
        <v>22</v>
      </c>
      <c r="C11">
        <v>0.73679761964673296</v>
      </c>
      <c r="D11">
        <v>2</v>
      </c>
      <c r="E11" t="s">
        <v>21</v>
      </c>
      <c r="F11" t="s">
        <v>21</v>
      </c>
      <c r="G11">
        <v>0</v>
      </c>
    </row>
    <row r="12" spans="1:14" x14ac:dyDescent="0.35">
      <c r="A12" s="1">
        <v>45859</v>
      </c>
      <c r="B12" t="s">
        <v>23</v>
      </c>
      <c r="C12">
        <v>0.73678089869440599</v>
      </c>
      <c r="D12">
        <v>2</v>
      </c>
      <c r="E12" t="s">
        <v>21</v>
      </c>
      <c r="F12" t="s">
        <v>21</v>
      </c>
      <c r="G12">
        <v>-2.9999999999999997E-4</v>
      </c>
    </row>
    <row r="13" spans="1:14" x14ac:dyDescent="0.35">
      <c r="A13" s="1">
        <v>45860</v>
      </c>
      <c r="B13" t="s">
        <v>25</v>
      </c>
      <c r="C13">
        <v>0.73609528134014002</v>
      </c>
      <c r="D13">
        <v>2</v>
      </c>
      <c r="E13" t="s">
        <v>21</v>
      </c>
      <c r="F13" t="s">
        <v>21</v>
      </c>
      <c r="G13">
        <v>2.0000000000000001E-4</v>
      </c>
    </row>
  </sheetData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Data Summary</vt:lpstr>
      <vt:lpstr>Enhance</vt:lpstr>
      <vt:lpstr>Result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PH Leung</dc:creator>
  <cp:lastModifiedBy>PH Leung</cp:lastModifiedBy>
  <dcterms:created xsi:type="dcterms:W3CDTF">2025-07-07T13:25:02Z</dcterms:created>
  <dcterms:modified xsi:type="dcterms:W3CDTF">2026-02-07T06:10:44Z</dcterms:modified>
</cp:coreProperties>
</file>